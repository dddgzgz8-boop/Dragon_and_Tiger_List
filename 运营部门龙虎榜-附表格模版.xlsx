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Sheet1" sheetId="1" r:id="rId1"/>
    <sheet name="Tab2-利润数据模版" sheetId="2" r:id="rId2"/>
    <sheet name="Tab-3上新目标完成情况" sheetId="3" r:id="rId3"/>
    <sheet name="Tab-4推新成功数量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<sst xmlns="http://schemas.openxmlformats.org/spreadsheetml/2006/main" count="132" uniqueCount="97">
  <si>
    <t>运营部门龙虎榜</t>
  </si>
  <si>
    <t>一、总榜定位</t>
  </si>
  <si>
    <t>运营部内部PK工具，用于展示**职级P2及以上**运营人员在每个双月周期内的综合表现。榜单核心回答三个问题：
1. 谁对利润增长的贡献最大？（环比+同比）
2. 谁推的新品既多又赚钱？（达标新品数）
3. 谁没有完成月度上新目标？（强制垫底）</t>
  </si>
  <si>
    <t>目前只针对美国和欧洲</t>
  </si>
  <si>
    <t>二、PK周期与数据更新</t>
  </si>
  <si>
    <t>PK周期：每两个月为一个PK周期（1-2月、3-4月、5-6月、7-8月、9-10月、11-12月）。</t>
  </si>
  <si>
    <t>数据更新：每个周期结束后，由我统一上传该周期的各项数据，上传完成后点击“发布”，榜单对全员可见。所以需要做一个后台入口给我上传数据。</t>
  </si>
  <si>
    <r>
      <rPr>
        <sz val="14"/>
        <color theme="1"/>
        <rFont val="宋体"/>
        <charset val="134"/>
        <scheme val="minor"/>
      </rPr>
      <t>（榜单2个月更新一次，</t>
    </r>
    <r>
      <rPr>
        <sz val="14"/>
        <color rgb="FFFF0000"/>
        <rFont val="宋体"/>
        <charset val="134"/>
        <scheme val="minor"/>
      </rPr>
      <t>但业绩可以另外有个板块单独展示</t>
    </r>
    <r>
      <rPr>
        <sz val="14"/>
        <color theme="1"/>
        <rFont val="宋体"/>
        <charset val="134"/>
        <scheme val="minor"/>
      </rPr>
      <t>，每个月我都会上传一次数据，拼比中期大家也可以看到目前的情况，落后的还有机会冲一冲）</t>
    </r>
  </si>
  <si>
    <t>日常积分榜：单独维护，每周或每日更新，与双月业绩榜分开。</t>
  </si>
  <si>
    <t>（这个我们有在线积分获得表，后面看看能不能同步到中台，也有一个排行榜）</t>
  </si>
  <si>
    <t>三、业绩总榜得分怎么算？</t>
  </si>
  <si>
    <r>
      <rPr>
        <sz val="16"/>
        <color theme="1"/>
        <rFont val="宋体"/>
        <charset val="134"/>
        <scheme val="minor"/>
      </rPr>
      <t xml:space="preserve">每个运营的最终得分由三部分构成：
总分 = 环比利润增长得分 + 推新成功得分 + 超额上新得分
</t>
    </r>
    <r>
      <rPr>
        <sz val="16"/>
        <color rgb="FFFF0000"/>
        <rFont val="宋体"/>
        <charset val="134"/>
        <scheme val="minor"/>
      </rPr>
      <t>总分 =（环比增长额 × 0.01）+（推新成功数 × 25）+（超额上新数量x10）</t>
    </r>
  </si>
  <si>
    <t>1. 周期环比利润增长得分
环比增长：本周期毛利 − 上周期毛利 | 差额 × 0.01 |
2. 推新成功得分
计分标准：美国站开售且单品累计毛利 ≥ 150美元的新品，每款计 **25分**。
               欧洲站单品累计毛利 ≥ 120美元
重复计分：每款新品只计分一次，后续周期不再重复计算。
3.超额上新得分
每个运营在PK周期内的两个月，每个月需完成 **美国/欧洲站至少发2款新品**（发走即算）。
如果两个月其中1月有超额完成但另1月未完成的话，自动补足，没有额外加分。如果补足后还有额外的，再算超额得分。超额1款加15分，30分封顶。</t>
  </si>
  <si>
    <t>四、月度上新目标规则（强制垫底机制）</t>
  </si>
  <si>
    <t>举例说明：
| 3月发了≥2款，4月发了≥2款 | ✅ 不垫底 |
| 3月只发了1款，4月补了3款（补足缺口且完成4月目标） | ✅ 不垫底（补上了就不算） |
| 3月只发了1款，4月只发了2款（只完成了4月目标，但缺口没补） | ❌ 垫底 |
| 3月发了2款，4月只发了1款 | ❌ 垫底 |
| 3月发了0款，4月发了4款（补足了3月缺口且完成4月目标） | ✅ 不垫底 |
| 3月发了0款，4月发了2款（完成了4月目标但3月缺口没补完） | ❌ 垫底 |
一句话总结：两个月都要达标。第一个月没达标没关系，第二个月超额补上就行；但如果第二个月只完成了自己当月的量、没把上个月的窟窿填上，那就要垫底。
垫底后的排名规则：所有按时按量完成的人排前面，按总分高低排；未完成的统一排在他们后面，未完成的人之间也按总分高低排。</t>
  </si>
  <si>
    <t>五、我需要提供的原始数据（运营侧工作）</t>
  </si>
  <si>
    <t>每个PK周期结束后，我需要准备以下4份数据，上传到后台：
| 序号 | 数据内容 | 数据来源 | 备注 |
| ① | 每个运营本周期毛利总额 | 领星ERP导出 | 同时系统会自动匹配上一周期和去年同期的毛利 |
| ② | 每个运营本月发了哪些SKU | 物流/仓储系统导出 | 用于判断月度目标是否完成，仅看美国站 |
| ③ | 每个运营推的新品及单品毛利 | 领星ERP导出 | 用于统计达标新品数 |
| ④ | 日常积分变动记录 | 日常记录汇总 | 奖励为正、扣减为负，用于积分榜 |
&gt; 首次上线时，需要额外补录一次**去年全年**的毛利数据，用于同比计算。之后每年只需正常上传即可。</t>
  </si>
  <si>
    <t>日常积分变动记录--后面可以直接跟积分表挂钩</t>
  </si>
  <si>
    <t>给RPA部门参考，可以灵活调整</t>
  </si>
  <si>
    <t>六、榜单上展示什么内容？</t>
  </si>
  <si>
    <r>
      <rPr>
        <sz val="16"/>
        <color theme="1"/>
        <rFont val="宋体"/>
        <charset val="134"/>
        <scheme val="minor"/>
      </rPr>
      <t xml:space="preserve">Tab1：优秀员工PK总榜（默认首页，2个月更新一次）
展示：排名、店铺+负责人、职级、月度上新目标是否完成、环比增长、达标新品数、**最终总分**
- </t>
    </r>
    <r>
      <rPr>
        <sz val="16"/>
        <color rgb="FFFF0000"/>
        <rFont val="宋体"/>
        <charset val="134"/>
        <scheme val="minor"/>
      </rPr>
      <t>头像为店铺，点开展示负责人，第一名直接展示负责人及店铺名，职级的话可以一个小图标在头像下面</t>
    </r>
    <r>
      <rPr>
        <sz val="16"/>
        <color theme="1"/>
        <rFont val="宋体"/>
        <charset val="134"/>
        <scheme val="minor"/>
      </rPr>
      <t xml:space="preserve">
- 前三名可以做较炫酷的特效
- 违规垫底的人整行标红，并注明原因（如“3月缺口1款未补足”）</t>
    </r>
  </si>
  <si>
    <t>特殊需求说明：
1.需要给我一个后台设置或上传数据的通道，我需要设置每个店铺对应负责人名字，对应职级看能否通过飞书匹配上（直接下载利润报表上传负责人那里有点问题）
2.我需要每月定期上传利润、月上新完成情况及推新成功数量（不含实际增长，可能需要系统自动调用历史数据计算，并根据总分计算公式算出排名）
3.tab2利润增长这个板块是指比拼中期我也会上传一次数据，让大家中期看到目前的情况，落后的还有机会冲一冲，但是优秀员工的榜单中期不能受影响</t>
  </si>
  <si>
    <t>Tab1，没有模版，用Tab2-4的数据计算得分排名</t>
  </si>
  <si>
    <t>Tab2：利润增长情况模块（月更）
展示：排名、店铺+负责人、职级、环比增长、同比增长（带涨跌箭头）</t>
  </si>
  <si>
    <t>Tab3：每月上新完成数量模块
展示：排名、姓名、职级、每月上新数量、可以按月查看总数量</t>
  </si>
  <si>
    <t>Tab4：推新成功数量模块
展示：排名、姓名、职级、达标新品数、点击可展开查看具体是哪些品及对应的单品毛利（每款新品仅上传1次，利润数据后续也不再更新）</t>
  </si>
  <si>
    <t>Tab5：日常积分榜（实时更新）
展示：排名、姓名、职级、当月累计积分、较昨日变化</t>
  </si>
  <si>
    <t>这个可以后面再补充</t>
  </si>
  <si>
    <t>七、筛选与交互需求</t>
  </si>
  <si>
    <t>| 功能 | 说明 |
| **周期切换** | 顶部下拉框，默认最新周期，可查看历史周期 |
| **状态筛选** | 可筛选“全部/已完成目标/未完成目标” |
| **定位自己** | 右上角“定位自己”按钮，点击后高亮当前登录人并滚动到可视区域 |
| **查看明细** | 点击榜单中的某个人，弹出浮窗显示该周期内的达标新品清单或月度发货明细 |</t>
  </si>
  <si>
    <t>八、数据状态提示</t>
  </si>
  <si>
    <t>榜单顶部需要清晰告诉运营同事当前数据处于什么状态：
| 状态 | 显示内容 |
| 数据已上传、待发布 | 黄色横幅提示“本期数据已上传，核验中，预计今日18:00发布” |
| 已发布 | 绿色文字显示“数据更新于：XX年XX月XX日 | 当前周期：X-X月” |
| 数据不完整 | 红色横幅提示“缺少XX数据，请等待管理员上传” |
| 暂无数据 | 榜单区域显示“本期PK数据尚未上传” |</t>
  </si>
  <si>
    <t>九、需要后台管理（只有我有权限）</t>
  </si>
  <si>
    <t>| 功能 | 用途 |
| 上传毛利数据 | 上传Excel |
| 上传发货数据 | 上传Excel（每月目标检查用） |
| 上传新品数据 | 上传Excel（达标新品计分用） |
| 上传积分数据 | 上传Excel（积分榜用） |
| 设置月度目标 | 目前固定2款/月，留个录入入口即可 |
| 补录历史毛利 | 首次上线时用，补去年全年数据 |
| 发布榜单 | 所有数据上传完毕后，点击发布，榜单对全员公开 |</t>
  </si>
  <si>
    <t>所有上传都有标准Excel模板，参考子表Tab2-4</t>
  </si>
  <si>
    <t>十、榜单权限只对运营部门开放</t>
  </si>
  <si>
    <t>*后续还可以增加榜单</t>
  </si>
  <si>
    <t>雏鹰榜（新人相关）</t>
  </si>
  <si>
    <t>日常积分榜（运营部所有人）</t>
  </si>
  <si>
    <t>运营之星榜</t>
  </si>
  <si>
    <t>...</t>
  </si>
  <si>
    <t>基础信息</t>
  </si>
  <si>
    <t>利润</t>
  </si>
  <si>
    <t>日期</t>
  </si>
  <si>
    <t>店铺</t>
  </si>
  <si>
    <t>负责人1</t>
  </si>
  <si>
    <t>负责人2</t>
  </si>
  <si>
    <t>负责人3</t>
  </si>
  <si>
    <t>币种</t>
  </si>
  <si>
    <t>毛利润</t>
  </si>
  <si>
    <t>2026-05</t>
  </si>
  <si>
    <t>红卡-US</t>
  </si>
  <si>
    <t>Kayo</t>
  </si>
  <si>
    <t>USD</t>
  </si>
  <si>
    <t>白圆卡-US</t>
  </si>
  <si>
    <t>Ray</t>
  </si>
  <si>
    <t>粉卡-US</t>
  </si>
  <si>
    <t>Hayley</t>
  </si>
  <si>
    <t>橙圆卡-US</t>
  </si>
  <si>
    <t>How</t>
  </si>
  <si>
    <t>黄圆卡-US</t>
  </si>
  <si>
    <t>Thea</t>
  </si>
  <si>
    <t>黄卡-US</t>
  </si>
  <si>
    <t>Cici</t>
  </si>
  <si>
    <t>紫卡-US</t>
  </si>
  <si>
    <t>Ivy</t>
  </si>
  <si>
    <t>绿卡-US</t>
  </si>
  <si>
    <t>Zoey</t>
  </si>
  <si>
    <t>Panny</t>
  </si>
  <si>
    <t>Tris</t>
  </si>
  <si>
    <t>当月完成</t>
  </si>
  <si>
    <t>亚马逊美国</t>
  </si>
  <si>
    <t>目标</t>
  </si>
  <si>
    <t>目标上新</t>
  </si>
  <si>
    <t>补充完成</t>
  </si>
  <si>
    <t>5月</t>
  </si>
  <si>
    <t>已完成</t>
  </si>
  <si>
    <t>6月</t>
  </si>
  <si>
    <t>至今未完成</t>
  </si>
  <si>
    <t>每月2款</t>
  </si>
  <si>
    <t>当月未完成</t>
  </si>
  <si>
    <t>运营二部</t>
  </si>
  <si>
    <t>说明</t>
  </si>
  <si>
    <t>运营二部-美国</t>
  </si>
  <si>
    <t>1月</t>
  </si>
  <si>
    <t>2月</t>
  </si>
  <si>
    <t>3月</t>
  </si>
  <si>
    <t>4月</t>
  </si>
  <si>
    <t>7月</t>
  </si>
  <si>
    <t>8月</t>
  </si>
  <si>
    <t>9月</t>
  </si>
  <si>
    <t>10月</t>
  </si>
  <si>
    <t>11月</t>
  </si>
  <si>
    <t>12月</t>
  </si>
  <si>
    <t>个人总计</t>
  </si>
  <si>
    <t>月总计</t>
  </si>
  <si>
    <t>推新成功得分
计分标准：美国站开售且单品累计毛利 ≥ 150美元的新品，每款计 **25分**。
               欧洲站单品累计毛利 ≥ 120美元
重复计分：每款新品只计分一次，后续周期不再重复计算。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</si>
</sst>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rgb="FFFF0000"/>
      <name val="宋体"/>
      <charset val="134"/>
      <scheme val="minor"/>
    </font>
    <font>
      <sz val="14"/>
      <color rgb="FFFF0000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15" applyNumberFormat="0" applyAlignment="0" applyProtection="0">
      <alignment vertical="center"/>
    </xf>
    <xf numFmtId="0" fontId="17" fillId="12" borderId="16" applyNumberFormat="0" applyAlignment="0" applyProtection="0">
      <alignment vertical="center"/>
    </xf>
    <xf numFmtId="0" fontId="18" fillId="12" borderId="15" applyNumberFormat="0" applyAlignment="0" applyProtection="0">
      <alignment vertical="center"/>
    </xf>
    <xf numFmtId="0" fontId="19" fillId="7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3" xfId="0" applyFill="1" applyBorder="1" applyAlignment="1"/>
    <xf numFmtId="0" fontId="0" fillId="0" borderId="3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left" vertical="top" wrapText="1"/>
    </xf>
    <xf numFmtId="0" fontId="1" fillId="3" borderId="0" xfId="0" applyFont="1" applyFill="1" applyAlignment="1">
      <alignment horizontal="left" vertical="center"/>
    </xf>
    <xf numFmtId="0" fontId="2" fillId="6" borderId="8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/>
    </xf>
    <xf numFmtId="0" fontId="3" fillId="0" borderId="0" xfId="0" applyFont="1" applyFill="1" applyAlignment="1"/>
    <xf numFmtId="0" fontId="4" fillId="0" borderId="3" xfId="0" applyFont="1" applyFill="1" applyBorder="1" applyAlignment="1">
      <alignment horizontal="center" vertical="center"/>
    </xf>
    <xf numFmtId="39" fontId="3" fillId="0" borderId="0" xfId="0" applyNumberFormat="1" applyFont="1" applyFill="1" applyAlignment="1"/>
    <xf numFmtId="0" fontId="3" fillId="0" borderId="0" xfId="0" applyFont="1" applyFill="1" applyAlignment="1">
      <alignment horizontal="left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0" fillId="8" borderId="3" xfId="0" applyFill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0" fillId="8" borderId="3" xfId="0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0" fillId="9" borderId="3" xfId="0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opLeftCell="A4" workbookViewId="0">
      <selection activeCell="K16" sqref="K16"/>
    </sheetView>
  </sheetViews>
  <sheetFormatPr defaultColWidth="9" defaultRowHeight="20.25"/>
  <cols>
    <col min="2" max="2" width="23.25" style="36" customWidth="1"/>
    <col min="3" max="3" width="9" style="37"/>
    <col min="10" max="10" width="77.5" customWidth="1"/>
    <col min="11" max="11" width="45.25" customWidth="1"/>
  </cols>
  <sheetData>
    <row r="1" ht="42" customHeight="1" spans="1:12">
      <c r="B1" s="38" t="s">
        <v>0</v>
      </c>
      <c r="C1" s="38"/>
      <c r="D1" s="38"/>
      <c r="E1" s="38"/>
      <c r="F1" s="38"/>
      <c r="G1" s="38"/>
      <c r="H1" s="38"/>
      <c r="I1" s="38"/>
      <c r="J1" s="38"/>
    </row>
    <row r="2" ht="126" customHeight="1" spans="1:12">
      <c r="B2" s="39" t="s">
        <v>1</v>
      </c>
      <c r="C2" s="39" t="s">
        <v>2</v>
      </c>
      <c r="D2" s="40"/>
      <c r="E2" s="40"/>
      <c r="F2" s="40"/>
      <c r="G2" s="40"/>
      <c r="H2" s="40"/>
      <c r="I2" s="40"/>
      <c r="J2" s="40"/>
      <c r="K2" s="41" t="s">
        <v>3</v>
      </c>
    </row>
    <row r="3" ht="26" customHeight="1" spans="1:12">
      <c r="B3" s="39" t="s">
        <v>4</v>
      </c>
      <c r="C3" s="39" t="s">
        <v>5</v>
      </c>
      <c r="D3" s="40"/>
      <c r="E3" s="40"/>
      <c r="F3" s="40"/>
      <c r="G3" s="40"/>
      <c r="H3" s="40"/>
      <c r="I3" s="40"/>
      <c r="J3" s="40"/>
    </row>
    <row r="4" ht="84" customHeight="1" spans="1:12">
      <c r="B4" s="39"/>
      <c r="C4" s="39" t="s">
        <v>6</v>
      </c>
      <c r="D4" s="42"/>
      <c r="E4" s="42"/>
      <c r="F4" s="42"/>
      <c r="G4" s="42"/>
      <c r="H4" s="42"/>
      <c r="I4" s="42"/>
      <c r="J4" s="42"/>
      <c r="K4" s="43" t="s">
        <v>7</v>
      </c>
    </row>
    <row r="5" ht="48" customHeight="1" spans="1:12">
      <c r="B5" s="39"/>
      <c r="C5" s="39" t="s">
        <v>8</v>
      </c>
      <c r="D5" s="44"/>
      <c r="E5" s="44"/>
      <c r="F5" s="44"/>
      <c r="G5" s="44"/>
      <c r="H5" s="44"/>
      <c r="I5" s="44"/>
      <c r="J5" s="44"/>
      <c r="K5" s="43" t="s">
        <v>9</v>
      </c>
    </row>
    <row r="6" ht="93" customHeight="1" spans="1:12">
      <c r="B6" s="39" t="s">
        <v>10</v>
      </c>
      <c r="C6" s="39" t="s">
        <v>11</v>
      </c>
      <c r="D6" s="42"/>
      <c r="E6" s="42"/>
      <c r="F6" s="42"/>
      <c r="G6" s="42"/>
      <c r="H6" s="42"/>
      <c r="I6" s="42"/>
      <c r="J6" s="42"/>
    </row>
    <row r="7" ht="349" customHeight="1" spans="1:12">
      <c r="B7" s="39"/>
      <c r="C7" s="39" t="s">
        <v>12</v>
      </c>
      <c r="D7" s="42"/>
      <c r="E7" s="42"/>
      <c r="F7" s="42"/>
      <c r="G7" s="42"/>
      <c r="H7" s="42"/>
      <c r="I7" s="42"/>
      <c r="J7" s="42"/>
    </row>
    <row r="8" ht="289" customHeight="1" spans="1:12">
      <c r="B8" s="39" t="s">
        <v>13</v>
      </c>
      <c r="C8" s="39" t="s">
        <v>14</v>
      </c>
      <c r="D8" s="42"/>
      <c r="E8" s="42"/>
      <c r="F8" s="42"/>
      <c r="G8" s="42"/>
      <c r="H8" s="42"/>
      <c r="I8" s="42"/>
      <c r="J8" s="42"/>
    </row>
    <row r="9" ht="222" customHeight="1" spans="1:12">
      <c r="B9" s="39" t="s">
        <v>15</v>
      </c>
      <c r="C9" s="39" t="s">
        <v>16</v>
      </c>
      <c r="D9" s="42"/>
      <c r="E9" s="42"/>
      <c r="F9" s="42"/>
      <c r="G9" s="42"/>
      <c r="H9" s="42"/>
      <c r="I9" s="42"/>
      <c r="J9" s="42"/>
      <c r="K9" s="45" t="s">
        <v>17</v>
      </c>
    </row>
    <row r="10" ht="129" customHeight="1" spans="1:12">
      <c r="A10" s="46" t="s">
        <v>18</v>
      </c>
      <c r="B10" s="47" t="s">
        <v>19</v>
      </c>
      <c r="C10" s="47" t="s">
        <v>20</v>
      </c>
      <c r="D10" s="48"/>
      <c r="E10" s="48"/>
      <c r="F10" s="48"/>
      <c r="G10" s="48"/>
      <c r="H10" s="48"/>
      <c r="I10" s="48"/>
      <c r="J10" s="48"/>
      <c r="K10" s="36" t="s">
        <v>21</v>
      </c>
      <c r="L10" s="49" t="s">
        <v>22</v>
      </c>
    </row>
    <row r="11" ht="71" customHeight="1" spans="1:12">
      <c r="B11" s="47"/>
      <c r="C11" s="47" t="s">
        <v>23</v>
      </c>
      <c r="D11" s="48"/>
      <c r="E11" s="48"/>
      <c r="F11" s="48"/>
      <c r="G11" s="48"/>
      <c r="H11" s="48"/>
      <c r="I11" s="48"/>
      <c r="J11" s="48"/>
      <c r="K11" s="36"/>
    </row>
    <row r="12" ht="74" customHeight="1" spans="1:12">
      <c r="B12" s="47"/>
      <c r="C12" s="47" t="s">
        <v>24</v>
      </c>
      <c r="D12" s="48"/>
      <c r="E12" s="48"/>
      <c r="F12" s="48"/>
      <c r="G12" s="48"/>
      <c r="H12" s="48"/>
      <c r="I12" s="48"/>
      <c r="J12" s="48"/>
      <c r="K12" s="36"/>
    </row>
    <row r="13" ht="74" customHeight="1" spans="1:12">
      <c r="B13" s="47"/>
      <c r="C13" s="47" t="s">
        <v>25</v>
      </c>
      <c r="D13" s="48"/>
      <c r="E13" s="48"/>
      <c r="F13" s="48"/>
      <c r="G13" s="48"/>
      <c r="H13" s="48"/>
      <c r="I13" s="48"/>
      <c r="J13" s="48"/>
      <c r="K13" s="36"/>
    </row>
    <row r="14" ht="58" customHeight="1" spans="1:12">
      <c r="B14" s="47"/>
      <c r="C14" s="47" t="s">
        <v>26</v>
      </c>
      <c r="D14" s="48"/>
      <c r="E14" s="48"/>
      <c r="F14" s="48"/>
      <c r="G14" s="48"/>
      <c r="H14" s="48"/>
      <c r="I14" s="48"/>
      <c r="J14" s="48"/>
      <c r="K14" s="45" t="s">
        <v>27</v>
      </c>
    </row>
    <row r="15" ht="120" customHeight="1" spans="1:12">
      <c r="B15" s="47" t="s">
        <v>28</v>
      </c>
      <c r="C15" s="47" t="s">
        <v>29</v>
      </c>
      <c r="D15" s="48"/>
      <c r="E15" s="48"/>
      <c r="F15" s="48"/>
      <c r="G15" s="48"/>
      <c r="H15" s="48"/>
      <c r="I15" s="48"/>
      <c r="J15" s="48"/>
      <c r="K15" s="50"/>
    </row>
    <row r="16" ht="171" customHeight="1" spans="1:12">
      <c r="B16" s="47" t="s">
        <v>30</v>
      </c>
      <c r="C16" s="47" t="s">
        <v>31</v>
      </c>
      <c r="D16" s="48"/>
      <c r="E16" s="48"/>
      <c r="F16" s="48"/>
      <c r="G16" s="48"/>
      <c r="H16" s="48"/>
      <c r="I16" s="48"/>
      <c r="J16" s="48"/>
      <c r="K16" s="50"/>
    </row>
    <row r="17" ht="220" customHeight="1" spans="2:11">
      <c r="B17" s="47" t="s">
        <v>32</v>
      </c>
      <c r="C17" s="47" t="s">
        <v>33</v>
      </c>
      <c r="D17" s="48"/>
      <c r="E17" s="48"/>
      <c r="F17" s="48"/>
      <c r="G17" s="48"/>
      <c r="H17" s="48"/>
      <c r="I17" s="48"/>
      <c r="J17" s="48"/>
      <c r="K17" s="45" t="s">
        <v>34</v>
      </c>
    </row>
    <row r="18" ht="48" customHeight="1" spans="2:11">
      <c r="B18" s="47" t="s">
        <v>35</v>
      </c>
      <c r="C18" s="47"/>
      <c r="D18" s="47"/>
      <c r="E18" s="47"/>
      <c r="F18" s="47"/>
      <c r="G18" s="47"/>
      <c r="H18" s="47"/>
      <c r="I18" s="47"/>
      <c r="J18" s="47"/>
    </row>
    <row r="19" spans="2:11">
      <c r="B19" s="51" t="s">
        <v>36</v>
      </c>
      <c r="C19" s="52" t="s">
        <v>37</v>
      </c>
      <c r="D19" s="52"/>
      <c r="E19" s="52"/>
      <c r="F19" s="52"/>
      <c r="G19" s="52"/>
      <c r="H19" s="52"/>
      <c r="I19" s="52"/>
      <c r="J19" s="52"/>
    </row>
    <row r="20" spans="2:11">
      <c r="B20" s="51"/>
      <c r="C20" s="52" t="s">
        <v>38</v>
      </c>
      <c r="D20" s="52"/>
      <c r="E20" s="52"/>
      <c r="F20" s="52"/>
      <c r="G20" s="52"/>
      <c r="H20" s="52"/>
      <c r="I20" s="52"/>
      <c r="J20" s="52"/>
    </row>
    <row r="21" spans="2:11">
      <c r="B21" s="51"/>
      <c r="C21" s="52" t="s">
        <v>39</v>
      </c>
      <c r="D21" s="52"/>
      <c r="E21" s="52"/>
      <c r="F21" s="52"/>
      <c r="G21" s="52"/>
      <c r="H21" s="52"/>
      <c r="I21" s="52"/>
      <c r="J21" s="52"/>
    </row>
    <row r="22" spans="2:11">
      <c r="B22" s="51"/>
      <c r="C22" s="52" t="s">
        <v>40</v>
      </c>
      <c r="D22" s="52"/>
      <c r="E22" s="52"/>
      <c r="F22" s="52"/>
      <c r="G22" s="52"/>
      <c r="H22" s="52"/>
      <c r="I22" s="52"/>
      <c r="J22" s="52"/>
    </row>
    <row r="23" spans="2:11">
      <c r="C23" s="53"/>
      <c r="D23" s="54"/>
      <c r="E23" s="54"/>
      <c r="F23" s="54"/>
      <c r="G23" s="54"/>
      <c r="H23" s="54"/>
      <c r="I23" s="54"/>
      <c r="J23" s="54"/>
    </row>
    <row r="24" spans="2:11">
      <c r="C24" s="53"/>
      <c r="D24" s="54"/>
      <c r="E24" s="54"/>
      <c r="F24" s="54"/>
      <c r="G24" s="54"/>
      <c r="H24" s="54"/>
      <c r="I24" s="54"/>
      <c r="J24" s="54"/>
    </row>
  </sheetData>
  <mergeCells count="29">
    <mergeCell ref="B1:J1"/>
    <mergeCell ref="C2:J2"/>
    <mergeCell ref="C3:J3"/>
    <mergeCell ref="C4:J4"/>
    <mergeCell ref="C5:J5"/>
    <mergeCell ref="C6:J6"/>
    <mergeCell ref="C7:J7"/>
    <mergeCell ref="C8:J8"/>
    <mergeCell ref="C9:J9"/>
    <mergeCell ref="C10:J10"/>
    <mergeCell ref="C11:J11"/>
    <mergeCell ref="C12:J12"/>
    <mergeCell ref="C13:J13"/>
    <mergeCell ref="C14:J14"/>
    <mergeCell ref="C15:J15"/>
    <mergeCell ref="C16:J16"/>
    <mergeCell ref="C17:J17"/>
    <mergeCell ref="B18:J18"/>
    <mergeCell ref="C19:J19"/>
    <mergeCell ref="C20:J20"/>
    <mergeCell ref="C21:J21"/>
    <mergeCell ref="C22:J22"/>
    <mergeCell ref="C23:J23"/>
    <mergeCell ref="C24:J24"/>
    <mergeCell ref="B3:B5"/>
    <mergeCell ref="B6:B7"/>
    <mergeCell ref="B10:B14"/>
    <mergeCell ref="B19:B22"/>
    <mergeCell ref="K10:K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G6" sqref="G6"/>
    </sheetView>
  </sheetViews>
  <sheetFormatPr defaultColWidth="9" defaultRowHeight="13.5" outlineLevelCol="6"/>
  <cols>
    <col min="1" max="1" width="20.7083333333333" style="32" customWidth="1"/>
    <col min="2" max="2" width="30.625" style="32" customWidth="1"/>
    <col min="3" max="7" width="20.7083333333333" style="32" customWidth="1"/>
    <col min="8" max="16384" width="9" style="1"/>
  </cols>
  <sheetData>
    <row r="1" spans="1:7">
      <c r="A1" s="33" t="s">
        <v>41</v>
      </c>
      <c r="B1" s="33"/>
      <c r="C1" s="33"/>
      <c r="D1" s="33"/>
      <c r="E1" s="33"/>
      <c r="F1" s="33"/>
      <c r="G1" s="33" t="s">
        <v>42</v>
      </c>
    </row>
    <row r="2" spans="1:7">
      <c r="A2" s="33" t="s">
        <v>43</v>
      </c>
      <c r="B2" s="33" t="s">
        <v>44</v>
      </c>
      <c r="C2" s="33" t="s">
        <v>45</v>
      </c>
      <c r="D2" s="33" t="s">
        <v>46</v>
      </c>
      <c r="E2" s="33" t="s">
        <v>47</v>
      </c>
      <c r="F2" s="33" t="s">
        <v>48</v>
      </c>
      <c r="G2" s="33" t="s">
        <v>49</v>
      </c>
    </row>
    <row r="3" ht="16.8" customHeight="1" spans="1:7">
      <c r="A3" s="32" t="s">
        <v>50</v>
      </c>
      <c r="B3" s="32" t="s">
        <v>51</v>
      </c>
      <c r="C3" s="32" t="s">
        <v>52</v>
      </c>
      <c r="F3" s="32" t="s">
        <v>53</v>
      </c>
      <c r="G3" s="34">
        <v>83.54</v>
      </c>
    </row>
    <row r="4" ht="16.8" customHeight="1" spans="1:7">
      <c r="A4" s="32" t="s">
        <v>50</v>
      </c>
      <c r="B4" s="32" t="s">
        <v>54</v>
      </c>
      <c r="C4" s="35" t="s">
        <v>55</v>
      </c>
      <c r="D4" s="35"/>
      <c r="E4" s="35"/>
      <c r="F4" s="32" t="s">
        <v>53</v>
      </c>
      <c r="G4" s="34">
        <v>-765.95</v>
      </c>
    </row>
    <row r="5" ht="16.8" customHeight="1" spans="1:7">
      <c r="A5" s="32" t="s">
        <v>50</v>
      </c>
      <c r="B5" s="32" t="s">
        <v>56</v>
      </c>
      <c r="C5" s="35" t="s">
        <v>57</v>
      </c>
      <c r="D5" s="35"/>
      <c r="E5" s="35"/>
      <c r="F5" s="32" t="s">
        <v>53</v>
      </c>
      <c r="G5" s="34">
        <v>559.76</v>
      </c>
    </row>
    <row r="6" ht="16.8" customHeight="1" spans="1:7">
      <c r="A6" s="32" t="s">
        <v>50</v>
      </c>
      <c r="B6" s="32" t="s">
        <v>58</v>
      </c>
      <c r="C6" s="35" t="s">
        <v>59</v>
      </c>
      <c r="D6" s="35"/>
      <c r="E6" s="35"/>
      <c r="F6" s="32" t="s">
        <v>53</v>
      </c>
      <c r="G6" s="34">
        <v>-86.43</v>
      </c>
    </row>
    <row r="7" ht="16.8" customHeight="1" spans="1:7">
      <c r="A7" s="32" t="s">
        <v>50</v>
      </c>
      <c r="B7" s="32" t="s">
        <v>60</v>
      </c>
      <c r="C7" s="35" t="s">
        <v>61</v>
      </c>
      <c r="D7" s="35"/>
      <c r="E7" s="35"/>
      <c r="F7" s="32" t="s">
        <v>53</v>
      </c>
      <c r="G7" s="34">
        <v>-81.43</v>
      </c>
    </row>
    <row r="8" ht="16.8" customHeight="1" spans="1:7">
      <c r="A8" s="32" t="s">
        <v>50</v>
      </c>
      <c r="B8" s="32" t="s">
        <v>62</v>
      </c>
      <c r="C8" s="35" t="s">
        <v>63</v>
      </c>
      <c r="D8" s="35"/>
      <c r="E8" s="35"/>
      <c r="F8" s="32" t="s">
        <v>53</v>
      </c>
      <c r="G8" s="34">
        <v>-80.43</v>
      </c>
    </row>
    <row r="9" ht="16.8" customHeight="1" spans="1:7">
      <c r="A9" s="32" t="s">
        <v>50</v>
      </c>
      <c r="B9" s="32" t="s">
        <v>64</v>
      </c>
      <c r="C9" s="35" t="s">
        <v>65</v>
      </c>
      <c r="D9" s="35"/>
      <c r="E9" s="35"/>
      <c r="F9" s="32" t="s">
        <v>53</v>
      </c>
      <c r="G9" s="34">
        <v>-3.43</v>
      </c>
    </row>
    <row r="10" ht="16.8" customHeight="1" spans="1:7">
      <c r="A10" s="32" t="s">
        <v>50</v>
      </c>
      <c r="B10" s="32" t="s">
        <v>66</v>
      </c>
      <c r="C10" s="35" t="s">
        <v>67</v>
      </c>
      <c r="D10" s="35" t="s">
        <v>68</v>
      </c>
      <c r="E10" s="35" t="s">
        <v>69</v>
      </c>
      <c r="F10" s="32" t="s">
        <v>53</v>
      </c>
      <c r="G10" s="34">
        <v>-20.43</v>
      </c>
    </row>
  </sheetData>
  <mergeCells count="1">
    <mergeCell ref="A1:F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6"/>
  <sheetViews>
    <sheetView workbookViewId="0">
      <selection activeCell="Q16" sqref="Q16"/>
    </sheetView>
  </sheetViews>
  <sheetFormatPr defaultColWidth="9" defaultRowHeight="13.5"/>
  <cols>
    <col min="1" max="16384" width="9" style="1"/>
  </cols>
  <sheetData>
    <row r="1" customHeight="1"/>
    <row r="2" spans="2:12">
      <c r="B2" s="21" t="s">
        <v>70</v>
      </c>
      <c r="C2" s="22" t="s">
        <v>71</v>
      </c>
      <c r="D2" s="23" t="s">
        <v>72</v>
      </c>
      <c r="E2" s="24" t="s">
        <v>73</v>
      </c>
      <c r="F2" s="24"/>
      <c r="G2" s="24"/>
      <c r="H2" s="24"/>
    </row>
    <row r="3" customHeight="1" spans="2:12">
      <c r="B3" s="25" t="s">
        <v>74</v>
      </c>
      <c r="C3" s="22"/>
      <c r="D3" s="23"/>
      <c r="E3" s="26" t="s">
        <v>75</v>
      </c>
      <c r="F3" s="27" t="s">
        <v>76</v>
      </c>
      <c r="G3" s="26" t="s">
        <v>77</v>
      </c>
      <c r="H3" s="27" t="s">
        <v>76</v>
      </c>
    </row>
    <row r="4" spans="2:12">
      <c r="B4" s="28" t="s">
        <v>78</v>
      </c>
      <c r="C4" s="2" t="s">
        <v>68</v>
      </c>
      <c r="D4" s="4" t="s">
        <v>79</v>
      </c>
      <c r="E4" s="3">
        <v>2</v>
      </c>
      <c r="F4" s="4">
        <v>2</v>
      </c>
      <c r="G4" s="3">
        <v>2</v>
      </c>
      <c r="H4" s="4">
        <v>1</v>
      </c>
    </row>
    <row r="5" spans="2:12">
      <c r="B5" s="29" t="s">
        <v>80</v>
      </c>
      <c r="C5" s="2" t="s">
        <v>52</v>
      </c>
      <c r="D5" s="4"/>
      <c r="E5" s="3">
        <v>2</v>
      </c>
      <c r="F5" s="4">
        <v>2</v>
      </c>
      <c r="G5" s="3">
        <v>2</v>
      </c>
      <c r="H5" s="30">
        <v>2</v>
      </c>
    </row>
    <row r="6" spans="2:12">
      <c r="C6" s="2" t="s">
        <v>55</v>
      </c>
      <c r="D6" s="4"/>
      <c r="E6" s="3">
        <v>0</v>
      </c>
      <c r="F6" s="4">
        <v>0</v>
      </c>
      <c r="G6" s="9">
        <v>2</v>
      </c>
      <c r="H6" s="31">
        <v>3</v>
      </c>
    </row>
    <row r="7" spans="2:12">
      <c r="C7" s="2" t="s">
        <v>57</v>
      </c>
      <c r="D7" s="4"/>
      <c r="E7" s="3">
        <v>2</v>
      </c>
      <c r="F7" s="4">
        <v>2</v>
      </c>
      <c r="G7" s="11">
        <v>2</v>
      </c>
      <c r="H7" s="4">
        <v>0</v>
      </c>
    </row>
    <row r="8" spans="2:12">
      <c r="C8" s="2" t="s">
        <v>59</v>
      </c>
      <c r="D8" s="4"/>
      <c r="E8" s="12">
        <v>2</v>
      </c>
      <c r="F8" s="4">
        <v>2</v>
      </c>
      <c r="G8" s="3">
        <v>2</v>
      </c>
      <c r="H8" s="4">
        <v>2</v>
      </c>
    </row>
    <row r="9" spans="2:12">
      <c r="C9" s="13" t="s">
        <v>61</v>
      </c>
      <c r="D9" s="4"/>
      <c r="E9" s="3">
        <v>2</v>
      </c>
      <c r="F9" s="4">
        <v>2</v>
      </c>
      <c r="G9" s="11">
        <v>2</v>
      </c>
      <c r="H9" s="4">
        <v>1</v>
      </c>
    </row>
    <row r="10" spans="2:12">
      <c r="C10" s="14" t="s">
        <v>63</v>
      </c>
      <c r="D10" s="4"/>
      <c r="E10" s="4">
        <v>2</v>
      </c>
      <c r="F10" s="4">
        <v>1</v>
      </c>
      <c r="G10" s="3">
        <v>2</v>
      </c>
      <c r="H10" s="4">
        <v>2</v>
      </c>
    </row>
    <row r="11" spans="2:12">
      <c r="C11" s="15" t="s">
        <v>65</v>
      </c>
      <c r="D11" s="17"/>
      <c r="E11" s="16">
        <v>1</v>
      </c>
      <c r="F11" s="17">
        <v>1</v>
      </c>
      <c r="G11" s="16">
        <v>1</v>
      </c>
      <c r="H11" s="17">
        <v>1</v>
      </c>
    </row>
    <row r="12" spans="2:12">
      <c r="C12" s="6" t="s">
        <v>81</v>
      </c>
      <c r="D12" s="6"/>
      <c r="E12" s="6">
        <f>SUM(E4:E11)</f>
        <v>13</v>
      </c>
      <c r="F12" s="7">
        <f>SUM(F4:F11)</f>
        <v>12</v>
      </c>
      <c r="G12" s="7">
        <f>SUM(G4:G11)</f>
        <v>15</v>
      </c>
      <c r="H12" s="7">
        <f>SUM(H4:H11)</f>
        <v>12</v>
      </c>
    </row>
    <row r="15" spans="2:12">
      <c r="B15" s="1" t="s">
        <v>82</v>
      </c>
    </row>
    <row r="16" ht="191" customHeight="1" spans="2:12">
      <c r="B16" s="20" t="s">
        <v>14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</row>
  </sheetData>
  <mergeCells count="5">
    <mergeCell ref="E2:H2"/>
    <mergeCell ref="B16:L16"/>
    <mergeCell ref="C2:C3"/>
    <mergeCell ref="D2:D3"/>
    <mergeCell ref="D4:D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P16"/>
  <sheetViews>
    <sheetView workbookViewId="0">
      <selection activeCell="H31" sqref="H31"/>
    </sheetView>
  </sheetViews>
  <sheetFormatPr defaultColWidth="9" defaultRowHeight="13.5"/>
  <cols>
    <col min="1" max="2" width="9" style="1"/>
    <col min="3" max="3" width="14" style="1" customWidth="1"/>
    <col min="4" max="16384" width="9" style="1"/>
  </cols>
  <sheetData>
    <row r="4" spans="3:16">
      <c r="C4" s="1" t="s">
        <v>83</v>
      </c>
      <c r="D4" s="1" t="s">
        <v>84</v>
      </c>
      <c r="E4" s="1" t="s">
        <v>85</v>
      </c>
      <c r="F4" s="1" t="s">
        <v>86</v>
      </c>
      <c r="G4" s="1" t="s">
        <v>87</v>
      </c>
      <c r="H4" s="1" t="s">
        <v>75</v>
      </c>
      <c r="I4" s="1" t="s">
        <v>77</v>
      </c>
      <c r="J4" s="1" t="s">
        <v>88</v>
      </c>
      <c r="K4" s="1" t="s">
        <v>89</v>
      </c>
      <c r="L4" s="1" t="s">
        <v>90</v>
      </c>
      <c r="M4" s="1" t="s">
        <v>91</v>
      </c>
      <c r="N4" s="1" t="s">
        <v>92</v>
      </c>
      <c r="O4" s="1" t="s">
        <v>93</v>
      </c>
      <c r="P4" s="1" t="s">
        <v>94</v>
      </c>
    </row>
    <row r="5" spans="3:16">
      <c r="C5" s="2" t="s">
        <v>68</v>
      </c>
      <c r="D5" s="3">
        <v>2</v>
      </c>
      <c r="E5" s="4">
        <v>2</v>
      </c>
      <c r="F5" s="3">
        <v>2</v>
      </c>
      <c r="G5" s="5">
        <v>1</v>
      </c>
      <c r="H5" s="6"/>
      <c r="I5" s="6"/>
      <c r="J5" s="6"/>
      <c r="K5" s="6"/>
      <c r="L5" s="6"/>
      <c r="M5" s="6"/>
      <c r="N5" s="6"/>
      <c r="O5" s="6"/>
      <c r="P5" s="7">
        <f t="shared" ref="P5:P13" si="0">SUM(D5:O5)</f>
        <v>7</v>
      </c>
    </row>
    <row r="6" spans="3:16">
      <c r="C6" s="2" t="s">
        <v>52</v>
      </c>
      <c r="D6" s="3">
        <v>2</v>
      </c>
      <c r="E6" s="4">
        <v>2</v>
      </c>
      <c r="F6" s="3">
        <v>2</v>
      </c>
      <c r="G6" s="8">
        <v>2</v>
      </c>
      <c r="H6" s="6"/>
      <c r="I6" s="6"/>
      <c r="J6" s="6"/>
      <c r="K6" s="6"/>
      <c r="L6" s="6"/>
      <c r="M6" s="6"/>
      <c r="N6" s="6"/>
      <c r="O6" s="6"/>
      <c r="P6" s="7">
        <f t="shared" si="0"/>
        <v>8</v>
      </c>
    </row>
    <row r="7" spans="3:16">
      <c r="C7" s="2" t="s">
        <v>55</v>
      </c>
      <c r="D7" s="3">
        <v>0</v>
      </c>
      <c r="E7" s="4">
        <v>0</v>
      </c>
      <c r="F7" s="9">
        <v>2</v>
      </c>
      <c r="G7" s="10">
        <v>3</v>
      </c>
      <c r="H7" s="6"/>
      <c r="I7" s="6"/>
      <c r="J7" s="6"/>
      <c r="K7" s="6"/>
      <c r="L7" s="6"/>
      <c r="M7" s="6"/>
      <c r="N7" s="6"/>
      <c r="O7" s="6"/>
      <c r="P7" s="7">
        <f t="shared" si="0"/>
        <v>5</v>
      </c>
    </row>
    <row r="8" spans="3:16">
      <c r="C8" s="2" t="s">
        <v>57</v>
      </c>
      <c r="D8" s="3">
        <v>2</v>
      </c>
      <c r="E8" s="4">
        <v>2</v>
      </c>
      <c r="F8" s="11">
        <v>2</v>
      </c>
      <c r="G8" s="5">
        <v>0</v>
      </c>
      <c r="H8" s="6"/>
      <c r="I8" s="6"/>
      <c r="J8" s="6"/>
      <c r="K8" s="6"/>
      <c r="L8" s="6"/>
      <c r="M8" s="6"/>
      <c r="N8" s="6"/>
      <c r="O8" s="6"/>
      <c r="P8" s="7">
        <f t="shared" si="0"/>
        <v>6</v>
      </c>
    </row>
    <row r="9" spans="3:16">
      <c r="C9" s="2" t="s">
        <v>59</v>
      </c>
      <c r="D9" s="12">
        <v>2</v>
      </c>
      <c r="E9" s="4">
        <v>2</v>
      </c>
      <c r="F9" s="3">
        <v>2</v>
      </c>
      <c r="G9" s="5">
        <v>2</v>
      </c>
      <c r="H9" s="6"/>
      <c r="I9" s="6"/>
      <c r="J9" s="6"/>
      <c r="K9" s="6"/>
      <c r="L9" s="6"/>
      <c r="M9" s="6"/>
      <c r="N9" s="6"/>
      <c r="O9" s="6"/>
      <c r="P9" s="7">
        <f t="shared" si="0"/>
        <v>8</v>
      </c>
    </row>
    <row r="10" spans="3:16">
      <c r="C10" s="13" t="s">
        <v>61</v>
      </c>
      <c r="D10" s="3">
        <v>2</v>
      </c>
      <c r="E10" s="4">
        <v>2</v>
      </c>
      <c r="F10" s="11">
        <v>2</v>
      </c>
      <c r="G10" s="5">
        <v>1</v>
      </c>
      <c r="H10" s="6"/>
      <c r="I10" s="6"/>
      <c r="J10" s="6"/>
      <c r="K10" s="6"/>
      <c r="L10" s="6"/>
      <c r="M10" s="6"/>
      <c r="N10" s="6"/>
      <c r="O10" s="6"/>
      <c r="P10" s="7">
        <f t="shared" si="0"/>
        <v>7</v>
      </c>
    </row>
    <row r="11" spans="3:16">
      <c r="C11" s="14" t="s">
        <v>63</v>
      </c>
      <c r="D11" s="4">
        <v>2</v>
      </c>
      <c r="E11" s="4">
        <v>1</v>
      </c>
      <c r="F11" s="3">
        <v>2</v>
      </c>
      <c r="G11" s="5">
        <v>2</v>
      </c>
      <c r="H11" s="6"/>
      <c r="I11" s="6"/>
      <c r="J11" s="6"/>
      <c r="K11" s="6"/>
      <c r="L11" s="6"/>
      <c r="M11" s="6"/>
      <c r="N11" s="6"/>
      <c r="O11" s="6"/>
      <c r="P11" s="7">
        <f t="shared" si="0"/>
        <v>7</v>
      </c>
    </row>
    <row r="12" spans="3:16">
      <c r="C12" s="15" t="s">
        <v>65</v>
      </c>
      <c r="D12" s="16">
        <v>1</v>
      </c>
      <c r="E12" s="17">
        <v>1</v>
      </c>
      <c r="F12" s="16">
        <v>1</v>
      </c>
      <c r="G12" s="18">
        <v>1</v>
      </c>
      <c r="H12" s="6"/>
      <c r="I12" s="6"/>
      <c r="J12" s="6"/>
      <c r="K12" s="6"/>
      <c r="L12" s="6"/>
      <c r="M12" s="6"/>
      <c r="N12" s="6"/>
      <c r="O12" s="6"/>
      <c r="P12" s="7">
        <f t="shared" si="0"/>
        <v>4</v>
      </c>
    </row>
    <row r="13" spans="3:16">
      <c r="C13" s="6" t="s">
        <v>95</v>
      </c>
      <c r="D13" s="6">
        <f t="shared" ref="D13:G13" si="1">SUM(D5:D12)</f>
        <v>13</v>
      </c>
      <c r="E13" s="7">
        <f t="shared" si="1"/>
        <v>12</v>
      </c>
      <c r="F13" s="7">
        <f t="shared" si="1"/>
        <v>15</v>
      </c>
      <c r="G13" s="19">
        <f t="shared" si="1"/>
        <v>12</v>
      </c>
      <c r="H13" s="6"/>
      <c r="I13" s="6"/>
      <c r="J13" s="6"/>
      <c r="K13" s="6"/>
      <c r="L13" s="6"/>
      <c r="M13" s="6"/>
      <c r="N13" s="6"/>
      <c r="O13" s="6"/>
      <c r="P13" s="7">
        <f t="shared" si="0"/>
        <v>52</v>
      </c>
    </row>
    <row r="15" spans="3:16">
      <c r="C15" s="1" t="s">
        <v>82</v>
      </c>
    </row>
    <row r="16" ht="109" customHeight="1" spans="3:16">
      <c r="C16" s="20" t="s">
        <v>96</v>
      </c>
      <c r="D16" s="20"/>
      <c r="E16" s="20"/>
      <c r="F16" s="20"/>
      <c r="G16" s="20"/>
      <c r="H16" s="20"/>
      <c r="I16" s="20"/>
    </row>
  </sheetData>
  <mergeCells count="1">
    <mergeCell ref="C16:I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Tab2-利润数据模版</vt:lpstr>
      <vt:lpstr>Tab-3上新目标完成情况</vt:lpstr>
      <vt:lpstr>Tab-4推新成功数量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besko</dc:creator>
  <cp:lastModifiedBy>微信用户</cp:lastModifiedBy>
  <dcterms:created xsi:type="dcterms:W3CDTF">2026-07-17T05:20:00Z</dcterms:created>
  <dcterms:modified xsi:type="dcterms:W3CDTF">2026-07-18T09:00:46Z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B1B45BF506934305887940B797FC7641_11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